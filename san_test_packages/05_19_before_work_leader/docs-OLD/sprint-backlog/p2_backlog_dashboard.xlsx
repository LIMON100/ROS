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Stories Detail" sheetId="2" state="visible" r:id="rId4"/>
    <sheet name="Velocity" sheetId="3" state="visible" r:id="rId5"/>
    <sheet name="P1 vs P2 Compa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<sst xmlns="http://schemas.openxmlformats.org/spreadsheetml/2006/main" count="245" uniqueCount="171">
  <si>
    <t xml:space="preserve">P2 Sprint Backlog — SDD Rev.A.6 §16.3 (Q4 2026, 6 weeks)</t>
  </si>
  <si>
    <t xml:space="preserve">Sprint</t>
  </si>
  <si>
    <t xml:space="preserve">Epic</t>
  </si>
  <si>
    <t xml:space="preserve">Stories</t>
  </si>
  <si>
    <t xml:space="preserve">Story Points</t>
  </si>
  <si>
    <t xml:space="preserve">Goal</t>
  </si>
  <si>
    <t xml:space="preserve">Risk</t>
  </si>
  <si>
    <t xml:space="preserve">P1 dep</t>
  </si>
  <si>
    <t xml:space="preserve">Phase</t>
  </si>
  <si>
    <t xml:space="preserve">S5 (Wk 9-10)</t>
  </si>
  <si>
    <t xml:space="preserve">Formations + Modes</t>
  </si>
  <si>
    <t xml:space="preserve">P2-1, P2-2, P2-3, P2-8</t>
  </si>
  <si>
    <t xml:space="preserve">9 formations operational, auto terrain switch</t>
  </si>
  <si>
    <t xml:space="preserve">9 formation visual validation, Hungarian compute time</t>
  </si>
  <si>
    <t xml:space="preserve">P1-3, P1-14</t>
  </si>
  <si>
    <t xml:space="preserve">D</t>
  </si>
  <si>
    <t xml:space="preserve">S6 (Wk 11-12)</t>
  </si>
  <si>
    <t xml:space="preserve">Map + Lab Dev</t>
  </si>
  <si>
    <t xml:space="preserve">P2-4, P2-5, P2-6, P2-7, P2-9</t>
  </si>
  <si>
    <t xml:space="preserve">Lab AHD camera + auto map prep + iptime config</t>
  </si>
  <si>
    <t xml:space="preserve">AHD model availability, OSM PBF download size</t>
  </si>
  <si>
    <t xml:space="preserve">P1-6, P1-7, P1-14</t>
  </si>
  <si>
    <t xml:space="preserve">S7 (Wk 13-14)</t>
  </si>
  <si>
    <t xml:space="preserve">Tooling + Compliance</t>
  </si>
  <si>
    <t xml:space="preserve">P2-10, P2-11, P2-12, P2-13, P2-14</t>
  </si>
  <si>
    <t xml:space="preserve">OTA, config mgmt, calibration, KPP automation</t>
  </si>
  <si>
    <t xml:space="preserve">OTA partition complexity, KPP test variance</t>
  </si>
  <si>
    <t xml:space="preserve">P1-3, P1-13, P1-15, P1-16</t>
  </si>
  <si>
    <t xml:space="preserve">D-E</t>
  </si>
  <si>
    <t xml:space="preserve">Total</t>
  </si>
  <si>
    <t xml:space="preserve">3 Epics</t>
  </si>
  <si>
    <t xml:space="preserve">14 Stories</t>
  </si>
  <si>
    <t xml:space="preserve">All P2 Stories</t>
  </si>
  <si>
    <t xml:space="preserve">Key</t>
  </si>
  <si>
    <t xml:space="preserve">Summary</t>
  </si>
  <si>
    <t xml:space="preserve">Priority</t>
  </si>
  <si>
    <t xml:space="preserve">Components</t>
  </si>
  <si>
    <t xml:space="preserve">SDD Ref</t>
  </si>
  <si>
    <t xml:space="preserve">Blocked By</t>
  </si>
  <si>
    <t xml:space="preserve">Labels</t>
  </si>
  <si>
    <t xml:space="preserve">Status</t>
  </si>
  <si>
    <t xml:space="preserve">P2-1</t>
  </si>
  <si>
    <t xml:space="preserve">9 formations library (column, line, V, diamond, echelon, box, vee, free)</t>
  </si>
  <si>
    <t xml:space="preserve">EPIC-5</t>
  </si>
  <si>
    <t xml:space="preserve">High</t>
  </si>
  <si>
    <t xml:space="preserve">mission</t>
  </si>
  <si>
    <t xml:space="preserve">§7.2</t>
  </si>
  <si>
    <t xml:space="preserve">P1-3</t>
  </si>
  <si>
    <t xml:space="preserve">mission, P2, formation</t>
  </si>
  <si>
    <t xml:space="preserve">To Do</t>
  </si>
  <si>
    <t xml:space="preserve">P2-2</t>
  </si>
  <si>
    <t xml:space="preserve">Hungarian slot assignment (formation transition)</t>
  </si>
  <si>
    <t xml:space="preserve">swarm</t>
  </si>
  <si>
    <t xml:space="preserve">§15.4</t>
  </si>
  <si>
    <t xml:space="preserve">swarm, P2, algorithm</t>
  </si>
  <si>
    <t xml:space="preserve">P2-3</t>
  </si>
  <si>
    <r>
      <rPr>
        <sz val="11"/>
        <color theme="1"/>
        <rFont val="Calibri"/>
        <family val="2"/>
        <charset val="1"/>
      </rPr>
      <t xml:space="preserve">Auto terrain switch (</t>
    </r>
    <r>
      <rPr>
        <sz val="11"/>
        <color theme="1"/>
        <rFont val="Noto Sans CJK SC"/>
        <family val="2"/>
      </rPr>
      <t xml:space="preserve">자동 종대 전환</t>
    </r>
    <r>
      <rPr>
        <sz val="11"/>
        <color theme="1"/>
        <rFont val="Calibri"/>
        <family val="2"/>
        <charset val="1"/>
      </rPr>
      <t xml:space="preserve">)</t>
    </r>
  </si>
  <si>
    <t xml:space="preserve">§7.5</t>
  </si>
  <si>
    <t xml:space="preserve">P2-1, P1-3</t>
  </si>
  <si>
    <t xml:space="preserve">mission, P2, auto</t>
  </si>
  <si>
    <t xml:space="preserve">P2-8</t>
  </si>
  <si>
    <t xml:space="preserve">M4 assault mode (d=15m, 60°)</t>
  </si>
  <si>
    <t xml:space="preserve">§7.8</t>
  </si>
  <si>
    <t xml:space="preserve">P1-14</t>
  </si>
  <si>
    <t xml:space="preserve">mission, P2, user-decision</t>
  </si>
  <si>
    <t xml:space="preserve">P2-4</t>
  </si>
  <si>
    <t xml:space="preserve">AHD camera adapter (Lab dev mode)</t>
  </si>
  <si>
    <t xml:space="preserve">EPIC-6</t>
  </si>
  <si>
    <t xml:space="preserve">adapters</t>
  </si>
  <si>
    <t xml:space="preserve">§2.2</t>
  </si>
  <si>
    <t xml:space="preserve">—</t>
  </si>
  <si>
    <t xml:space="preserve">adapter, P2, user-decision</t>
  </si>
  <si>
    <t xml:space="preserve">P2-5</t>
  </si>
  <si>
    <t xml:space="preserve">Hybrid static layer update (SLAM → OSM)</t>
  </si>
  <si>
    <t xml:space="preserve">mapping</t>
  </si>
  <si>
    <t xml:space="preserve">§4.7.6</t>
  </si>
  <si>
    <t xml:space="preserve">P1-6, P1-7</t>
  </si>
  <si>
    <t xml:space="preserve">mapping, P2, algorithm</t>
  </si>
  <si>
    <t xml:space="preserve">P2-6</t>
  </si>
  <si>
    <t xml:space="preserve">SRTM 30m DEM loader</t>
  </si>
  <si>
    <t xml:space="preserve">Medium</t>
  </si>
  <si>
    <t xml:space="preserve">§10.5.1</t>
  </si>
  <si>
    <t xml:space="preserve">P1-6</t>
  </si>
  <si>
    <t xml:space="preserve">mapping, P2, terrain</t>
  </si>
  <si>
    <t xml:space="preserve">P2-7</t>
  </si>
  <si>
    <t xml:space="preserve">mission_brief.sh — LTE map download automation</t>
  </si>
  <si>
    <t xml:space="preserve">scripts</t>
  </si>
  <si>
    <t xml:space="preserve">§10.5.2</t>
  </si>
  <si>
    <t xml:space="preserve">P1-6, P2-6</t>
  </si>
  <si>
    <t xml:space="preserve">tooling, P2, shell</t>
  </si>
  <si>
    <t xml:space="preserve">P2-9</t>
  </si>
  <si>
    <t xml:space="preserve">iptime mesh router auto-config</t>
  </si>
  <si>
    <t xml:space="preserve">network, P2, user-decision</t>
  </si>
  <si>
    <t xml:space="preserve">P2-10</t>
  </si>
  <si>
    <t xml:space="preserve">OTA Update mechanism (A/B partition)</t>
  </si>
  <si>
    <t xml:space="preserve">EPIC-7</t>
  </si>
  <si>
    <t xml:space="preserve">scripts, core</t>
  </si>
  <si>
    <t xml:space="preserve">§10.6.1</t>
  </si>
  <si>
    <t xml:space="preserve">infrastructure, P2, infra-x4</t>
  </si>
  <si>
    <t xml:space="preserve">P2-11</t>
  </si>
  <si>
    <t xml:space="preserve">Configuration Management (snapshot + rollback)</t>
  </si>
  <si>
    <t xml:space="preserve">core</t>
  </si>
  <si>
    <t xml:space="preserve">§10.6.3</t>
  </si>
  <si>
    <t xml:space="preserve">P2-10, P1-16</t>
  </si>
  <si>
    <t xml:space="preserve">infrastructure, P2, infra-x5</t>
  </si>
  <si>
    <t xml:space="preserve">P2-12</t>
  </si>
  <si>
    <t xml:space="preserve">Calibration tools (IMU/camera/RTK)</t>
  </si>
  <si>
    <t xml:space="preserve">§16.3</t>
  </si>
  <si>
    <t xml:space="preserve">tooling, P2, infra-x8</t>
  </si>
  <si>
    <t xml:space="preserve">P2-13</t>
  </si>
  <si>
    <r>
      <rPr>
        <sz val="11"/>
        <color theme="1"/>
        <rFont val="Calibri"/>
        <family val="2"/>
        <charset val="1"/>
      </rPr>
      <t xml:space="preserve">KPP 5</t>
    </r>
    <r>
      <rPr>
        <sz val="11"/>
        <color theme="1"/>
        <rFont val="Noto Sans CJK SC"/>
        <family val="2"/>
      </rPr>
      <t xml:space="preserve">종 자동 측정 </t>
    </r>
    <r>
      <rPr>
        <sz val="11"/>
        <color theme="1"/>
        <rFont val="Calibri"/>
        <family val="2"/>
        <charset val="1"/>
      </rPr>
      <t xml:space="preserve">(CI integration)</t>
    </r>
  </si>
  <si>
    <t xml:space="preserve">tests, scripts</t>
  </si>
  <si>
    <t xml:space="preserve">§5.6.5</t>
  </si>
  <si>
    <t xml:space="preserve">P1-3, P1-13, P1-15</t>
  </si>
  <si>
    <t xml:space="preserve">testing, P2, kpp, ci</t>
  </si>
  <si>
    <t xml:space="preserve">P2-14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</si>
  <si>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권한 분리 </t>
    </r>
    <r>
      <rPr>
        <sz val="11"/>
        <color theme="1"/>
        <rFont val="Calibri"/>
        <family val="2"/>
        <charset val="1"/>
      </rPr>
      <t xml:space="preserve">invariants </t>
    </r>
    <r>
      <rPr>
        <sz val="11"/>
        <color theme="1"/>
        <rFont val="Noto Sans CJK SC"/>
        <family val="2"/>
      </rPr>
      <t xml:space="preserve">자동 검증</t>
    </r>
  </si>
  <si>
    <t xml:space="preserve">safety, core</t>
  </si>
  <si>
    <t xml:space="preserve">§8</t>
  </si>
  <si>
    <t xml:space="preserve">P1-8, P1-16</t>
  </si>
  <si>
    <t xml:space="preserve">safety, P2, compliance</t>
  </si>
  <si>
    <t xml:space="preserve">P2 Velocity Estimate</t>
  </si>
  <si>
    <t xml:space="preserve">Total story points (P2):</t>
  </si>
  <si>
    <t xml:space="preserve">Sprints:</t>
  </si>
  <si>
    <t xml:space="preserve">Average SP/Sprint:</t>
  </si>
  <si>
    <t xml:space="preserve">Avg duration (1 SP = 3 hrs):</t>
  </si>
  <si>
    <t xml:space="preserve">hours</t>
  </si>
  <si>
    <t xml:space="preserve">6 weeks × 40 hr/week:</t>
  </si>
  <si>
    <t xml:space="preserve">hours per dev</t>
  </si>
  <si>
    <t xml:space="preserve">Headroom:</t>
  </si>
  <si>
    <t xml:space="preserve">hours buffer (~15%)</t>
  </si>
  <si>
    <t xml:space="preserve">Top P2 Risks</t>
  </si>
  <si>
    <t xml:space="preserve">ID</t>
  </si>
  <si>
    <t xml:space="preserve">Probability</t>
  </si>
  <si>
    <t xml:space="preserve">Mitigation</t>
  </si>
  <si>
    <t xml:space="preserve">R1</t>
  </si>
  <si>
    <t xml:space="preserve">9 formations may need visual tuning per real terrain</t>
  </si>
  <si>
    <t xml:space="preserve">Phase D field trial validation; iterate per feedback</t>
  </si>
  <si>
    <t xml:space="preserve">R2</t>
  </si>
  <si>
    <t xml:space="preserve">Hungarian assignment compute time at N=9 (&gt;20 ms?)</t>
  </si>
  <si>
    <t xml:space="preserve">Low</t>
  </si>
  <si>
    <t xml:space="preserve">Profile + cache; fallback to greedy if needed</t>
  </si>
  <si>
    <t xml:space="preserve">R3</t>
  </si>
  <si>
    <t xml:space="preserve">AHD camera model stock unpredictable</t>
  </si>
  <si>
    <t xml:space="preserve">Validate 2-3 vendors; document drop-in alternative</t>
  </si>
  <si>
    <t xml:space="preserve">R4</t>
  </si>
  <si>
    <t xml:space="preserve">OTA A/B partition disk size constraints (RK3588J 32 GB)</t>
  </si>
  <si>
    <t xml:space="preserve">Compress; partition layout doc'd before Phase D</t>
  </si>
  <si>
    <t xml:space="preserve">R5</t>
  </si>
  <si>
    <t xml:space="preserve">KPP test variance &gt; 20% in CI environment</t>
  </si>
  <si>
    <t xml:space="preserve">Run 5 iterations; report median + std dev</t>
  </si>
  <si>
    <t xml:space="preserve">R6</t>
  </si>
  <si>
    <t xml:space="preserve">Calibration procedures need expert validation</t>
  </si>
  <si>
    <t xml:space="preserve">Seek input from Hanwha/LIG calibration teams</t>
  </si>
  <si>
    <t xml:space="preserve">P1 vs P2 Comparison</t>
  </si>
  <si>
    <t xml:space="preserve">Metric</t>
  </si>
  <si>
    <t xml:space="preserve">P1 (Q3 2026)</t>
  </si>
  <si>
    <t xml:space="preserve">P2 (Q4 2026)</t>
  </si>
  <si>
    <t xml:space="preserve">Ratio</t>
  </si>
  <si>
    <t xml:space="preserve">0.7x</t>
  </si>
  <si>
    <t xml:space="preserve">64%</t>
  </si>
  <si>
    <t xml:space="preserve">Sprints</t>
  </si>
  <si>
    <t xml:space="preserve">0.75x</t>
  </si>
  <si>
    <t xml:space="preserve">Critical (⭐)</t>
  </si>
  <si>
    <t xml:space="preserve">Duration (weeks)</t>
  </si>
  <si>
    <t xml:space="preserve">Focus</t>
  </si>
  <si>
    <t xml:space="preserve">KPP critical infra</t>
  </si>
  <si>
    <t xml:space="preserve">Standard features + tooling</t>
  </si>
  <si>
    <t xml:space="preserve">KPP impact</t>
  </si>
  <si>
    <t xml:space="preserve">Direct (latency/reconfig)</t>
  </si>
  <si>
    <t xml:space="preserve">Indirect (formation/calib)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</si>
</sst>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color rgb="FF00B050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EFF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6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49.5" hidden="false" customHeight="true" outlineLevel="0" collapsed="false">
      <c r="A4" s="3" t="s">
        <v>9</v>
      </c>
      <c r="B4" s="4" t="s">
        <v>10</v>
      </c>
      <c r="C4" s="4" t="s">
        <v>11</v>
      </c>
      <c r="D4" s="4" t="n">
        <v>20</v>
      </c>
      <c r="E4" s="4" t="s">
        <v>12</v>
      </c>
      <c r="F4" s="4" t="s">
        <v>13</v>
      </c>
      <c r="G4" s="4" t="s">
        <v>14</v>
      </c>
      <c r="H4" s="4" t="s">
        <v>15</v>
      </c>
    </row>
    <row r="5" customFormat="false" ht="49.5" hidden="false" customHeight="true" outlineLevel="0" collapsed="false">
      <c r="A5" s="3" t="s">
        <v>16</v>
      </c>
      <c r="B5" s="4" t="s">
        <v>17</v>
      </c>
      <c r="C5" s="4" t="s">
        <v>18</v>
      </c>
      <c r="D5" s="4" t="n">
        <v>19</v>
      </c>
      <c r="E5" s="4" t="s">
        <v>19</v>
      </c>
      <c r="F5" s="4" t="s">
        <v>20</v>
      </c>
      <c r="G5" s="4" t="s">
        <v>21</v>
      </c>
      <c r="H5" s="4" t="s">
        <v>15</v>
      </c>
    </row>
    <row r="6" customFormat="false" ht="49.5" hidden="false" customHeight="true" outlineLevel="0" collapsed="false">
      <c r="A6" s="3" t="s">
        <v>22</v>
      </c>
      <c r="B6" s="4" t="s">
        <v>23</v>
      </c>
      <c r="C6" s="4" t="s">
        <v>24</v>
      </c>
      <c r="D6" s="4" t="n">
        <v>29</v>
      </c>
      <c r="E6" s="4" t="s">
        <v>25</v>
      </c>
      <c r="F6" s="4" t="s">
        <v>26</v>
      </c>
      <c r="G6" s="4" t="s">
        <v>27</v>
      </c>
      <c r="H6" s="4" t="s">
        <v>28</v>
      </c>
    </row>
    <row r="7" customFormat="false" ht="15" hidden="false" customHeight="false" outlineLevel="0" collapsed="false">
      <c r="A7" s="5" t="s">
        <v>29</v>
      </c>
      <c r="B7" s="5" t="s">
        <v>30</v>
      </c>
      <c r="C7" s="5" t="s">
        <v>31</v>
      </c>
      <c r="D7" s="5" t="n">
        <f aca="false">SUM(D4:D6)</f>
        <v>68</v>
      </c>
      <c r="E7" s="6"/>
      <c r="F7" s="6"/>
      <c r="G7" s="6"/>
      <c r="H7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7" t="s">
        <v>32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customFormat="false" ht="31.5" hidden="false" customHeight="true" outlineLevel="0" collapsed="false">
      <c r="A3" s="2" t="s">
        <v>33</v>
      </c>
      <c r="B3" s="2" t="s">
        <v>34</v>
      </c>
      <c r="C3" s="2" t="s">
        <v>1</v>
      </c>
      <c r="D3" s="2" t="s">
        <v>2</v>
      </c>
      <c r="E3" s="2" t="s">
        <v>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</row>
    <row r="4" customFormat="false" ht="28.35" hidden="false" customHeight="false" outlineLevel="0" collapsed="false">
      <c r="A4" s="4" t="s">
        <v>41</v>
      </c>
      <c r="B4" s="4" t="s">
        <v>42</v>
      </c>
      <c r="C4" s="4" t="s">
        <v>9</v>
      </c>
      <c r="D4" s="4" t="s">
        <v>43</v>
      </c>
      <c r="E4" s="4" t="n">
        <v>8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</row>
    <row r="5" customFormat="false" ht="15" hidden="false" customHeight="false" outlineLevel="0" collapsed="false">
      <c r="A5" s="4" t="s">
        <v>50</v>
      </c>
      <c r="B5" s="4" t="s">
        <v>51</v>
      </c>
      <c r="C5" s="4" t="s">
        <v>9</v>
      </c>
      <c r="D5" s="4" t="s">
        <v>43</v>
      </c>
      <c r="E5" s="4" t="n">
        <v>5</v>
      </c>
      <c r="F5" s="4" t="s">
        <v>44</v>
      </c>
      <c r="G5" s="4" t="s">
        <v>52</v>
      </c>
      <c r="H5" s="4" t="s">
        <v>53</v>
      </c>
      <c r="I5" s="4" t="s">
        <v>41</v>
      </c>
      <c r="J5" s="4" t="s">
        <v>54</v>
      </c>
      <c r="K5" s="4" t="s">
        <v>49</v>
      </c>
    </row>
    <row r="6" customFormat="false" ht="17.15" hidden="false" customHeight="false" outlineLevel="0" collapsed="false">
      <c r="A6" s="4" t="s">
        <v>55</v>
      </c>
      <c r="B6" s="4" t="s">
        <v>56</v>
      </c>
      <c r="C6" s="4" t="s">
        <v>9</v>
      </c>
      <c r="D6" s="4" t="s">
        <v>43</v>
      </c>
      <c r="E6" s="4" t="n">
        <v>5</v>
      </c>
      <c r="F6" s="4" t="s">
        <v>44</v>
      </c>
      <c r="G6" s="4" t="s">
        <v>45</v>
      </c>
      <c r="H6" s="4" t="s">
        <v>57</v>
      </c>
      <c r="I6" s="4" t="s">
        <v>58</v>
      </c>
      <c r="J6" s="4" t="s">
        <v>59</v>
      </c>
      <c r="K6" s="4" t="s">
        <v>49</v>
      </c>
    </row>
    <row r="7" customFormat="false" ht="28.35" hidden="false" customHeight="false" outlineLevel="0" collapsed="false">
      <c r="A7" s="4" t="s">
        <v>60</v>
      </c>
      <c r="B7" s="4" t="s">
        <v>61</v>
      </c>
      <c r="C7" s="4" t="s">
        <v>9</v>
      </c>
      <c r="D7" s="4" t="s">
        <v>43</v>
      </c>
      <c r="E7" s="4" t="n">
        <v>2</v>
      </c>
      <c r="F7" s="4" t="s">
        <v>44</v>
      </c>
      <c r="G7" s="4" t="s">
        <v>45</v>
      </c>
      <c r="H7" s="4" t="s">
        <v>62</v>
      </c>
      <c r="I7" s="4" t="s">
        <v>63</v>
      </c>
      <c r="J7" s="4" t="s">
        <v>64</v>
      </c>
      <c r="K7" s="4" t="s">
        <v>49</v>
      </c>
    </row>
    <row r="8" customFormat="false" ht="28.35" hidden="false" customHeight="false" outlineLevel="0" collapsed="false">
      <c r="A8" s="4" t="s">
        <v>65</v>
      </c>
      <c r="B8" s="4" t="s">
        <v>66</v>
      </c>
      <c r="C8" s="4" t="s">
        <v>16</v>
      </c>
      <c r="D8" s="4" t="s">
        <v>67</v>
      </c>
      <c r="E8" s="4" t="n">
        <v>5</v>
      </c>
      <c r="F8" s="4" t="s">
        <v>44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49</v>
      </c>
    </row>
    <row r="9" customFormat="false" ht="15" hidden="false" customHeight="false" outlineLevel="0" collapsed="false">
      <c r="A9" s="4" t="s">
        <v>72</v>
      </c>
      <c r="B9" s="4" t="s">
        <v>73</v>
      </c>
      <c r="C9" s="4" t="s">
        <v>16</v>
      </c>
      <c r="D9" s="4" t="s">
        <v>67</v>
      </c>
      <c r="E9" s="4" t="n">
        <v>5</v>
      </c>
      <c r="F9" s="4" t="s">
        <v>44</v>
      </c>
      <c r="G9" s="4" t="s">
        <v>74</v>
      </c>
      <c r="H9" s="4" t="s">
        <v>75</v>
      </c>
      <c r="I9" s="4" t="s">
        <v>76</v>
      </c>
      <c r="J9" s="4" t="s">
        <v>77</v>
      </c>
      <c r="K9" s="4" t="s">
        <v>49</v>
      </c>
    </row>
    <row r="10" customFormat="false" ht="15" hidden="false" customHeight="false" outlineLevel="0" collapsed="false">
      <c r="A10" s="4" t="s">
        <v>78</v>
      </c>
      <c r="B10" s="4" t="s">
        <v>79</v>
      </c>
      <c r="C10" s="4" t="s">
        <v>16</v>
      </c>
      <c r="D10" s="4" t="s">
        <v>67</v>
      </c>
      <c r="E10" s="4" t="n">
        <v>3</v>
      </c>
      <c r="F10" s="4" t="s">
        <v>80</v>
      </c>
      <c r="G10" s="4" t="s">
        <v>74</v>
      </c>
      <c r="H10" s="4" t="s">
        <v>81</v>
      </c>
      <c r="I10" s="4" t="s">
        <v>82</v>
      </c>
      <c r="J10" s="4" t="s">
        <v>83</v>
      </c>
      <c r="K10" s="4" t="s">
        <v>49</v>
      </c>
    </row>
    <row r="11" customFormat="false" ht="15" hidden="false" customHeight="false" outlineLevel="0" collapsed="false">
      <c r="A11" s="4" t="s">
        <v>84</v>
      </c>
      <c r="B11" s="4" t="s">
        <v>85</v>
      </c>
      <c r="C11" s="4" t="s">
        <v>16</v>
      </c>
      <c r="D11" s="4" t="s">
        <v>67</v>
      </c>
      <c r="E11" s="4" t="n">
        <v>3</v>
      </c>
      <c r="F11" s="4" t="s">
        <v>80</v>
      </c>
      <c r="G11" s="4" t="s">
        <v>86</v>
      </c>
      <c r="H11" s="4" t="s">
        <v>87</v>
      </c>
      <c r="I11" s="4" t="s">
        <v>88</v>
      </c>
      <c r="J11" s="4" t="s">
        <v>89</v>
      </c>
      <c r="K11" s="4" t="s">
        <v>49</v>
      </c>
    </row>
    <row r="12" customFormat="false" ht="28.35" hidden="false" customHeight="false" outlineLevel="0" collapsed="false">
      <c r="A12" s="4" t="s">
        <v>90</v>
      </c>
      <c r="B12" s="4" t="s">
        <v>91</v>
      </c>
      <c r="C12" s="4" t="s">
        <v>16</v>
      </c>
      <c r="D12" s="4" t="s">
        <v>67</v>
      </c>
      <c r="E12" s="4" t="n">
        <v>3</v>
      </c>
      <c r="F12" s="4" t="s">
        <v>80</v>
      </c>
      <c r="G12" s="4" t="s">
        <v>86</v>
      </c>
      <c r="H12" s="4" t="s">
        <v>69</v>
      </c>
      <c r="I12" s="4" t="s">
        <v>70</v>
      </c>
      <c r="J12" s="4" t="s">
        <v>92</v>
      </c>
      <c r="K12" s="4" t="s">
        <v>49</v>
      </c>
    </row>
    <row r="13" customFormat="false" ht="28.35" hidden="false" customHeight="false" outlineLevel="0" collapsed="false">
      <c r="A13" s="4" t="s">
        <v>93</v>
      </c>
      <c r="B13" s="4" t="s">
        <v>94</v>
      </c>
      <c r="C13" s="4" t="s">
        <v>22</v>
      </c>
      <c r="D13" s="4" t="s">
        <v>95</v>
      </c>
      <c r="E13" s="4" t="n">
        <v>8</v>
      </c>
      <c r="F13" s="4" t="s">
        <v>44</v>
      </c>
      <c r="G13" s="4" t="s">
        <v>96</v>
      </c>
      <c r="H13" s="4" t="s">
        <v>97</v>
      </c>
      <c r="I13" s="4" t="s">
        <v>70</v>
      </c>
      <c r="J13" s="4" t="s">
        <v>98</v>
      </c>
      <c r="K13" s="4" t="s">
        <v>49</v>
      </c>
    </row>
    <row r="14" customFormat="false" ht="28.35" hidden="false" customHeight="false" outlineLevel="0" collapsed="false">
      <c r="A14" s="4" t="s">
        <v>99</v>
      </c>
      <c r="B14" s="4" t="s">
        <v>100</v>
      </c>
      <c r="C14" s="4" t="s">
        <v>22</v>
      </c>
      <c r="D14" s="4" t="s">
        <v>95</v>
      </c>
      <c r="E14" s="4" t="n">
        <v>5</v>
      </c>
      <c r="F14" s="4" t="s">
        <v>44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49</v>
      </c>
    </row>
    <row r="15" customFormat="false" ht="15" hidden="false" customHeight="false" outlineLevel="0" collapsed="false">
      <c r="A15" s="4" t="s">
        <v>105</v>
      </c>
      <c r="B15" s="4" t="s">
        <v>106</v>
      </c>
      <c r="C15" s="4" t="s">
        <v>22</v>
      </c>
      <c r="D15" s="4" t="s">
        <v>95</v>
      </c>
      <c r="E15" s="4" t="n">
        <v>8</v>
      </c>
      <c r="F15" s="4" t="s">
        <v>80</v>
      </c>
      <c r="G15" s="4" t="s">
        <v>86</v>
      </c>
      <c r="H15" s="4" t="s">
        <v>107</v>
      </c>
      <c r="I15" s="4" t="s">
        <v>70</v>
      </c>
      <c r="J15" s="4" t="s">
        <v>108</v>
      </c>
      <c r="K15" s="4" t="s">
        <v>49</v>
      </c>
    </row>
    <row r="16" customFormat="false" ht="28.35" hidden="false" customHeight="false" outlineLevel="0" collapsed="false">
      <c r="A16" s="4" t="s">
        <v>109</v>
      </c>
      <c r="B16" s="4" t="s">
        <v>110</v>
      </c>
      <c r="C16" s="4" t="s">
        <v>22</v>
      </c>
      <c r="D16" s="4" t="s">
        <v>95</v>
      </c>
      <c r="E16" s="4" t="n">
        <v>5</v>
      </c>
      <c r="F16" s="4" t="s">
        <v>44</v>
      </c>
      <c r="G16" s="4" t="s">
        <v>111</v>
      </c>
      <c r="H16" s="4" t="s">
        <v>112</v>
      </c>
      <c r="I16" s="4" t="s">
        <v>113</v>
      </c>
      <c r="J16" s="4" t="s">
        <v>114</v>
      </c>
      <c r="K16" s="4" t="s">
        <v>49</v>
      </c>
    </row>
    <row r="17" customFormat="false" ht="17.15" hidden="false" customHeight="false" outlineLevel="0" collapsed="false">
      <c r="A17" s="4" t="s">
        <v>115</v>
      </c>
      <c r="B17" s="4" t="s">
        <v>116</v>
      </c>
      <c r="C17" s="4" t="s">
        <v>22</v>
      </c>
      <c r="D17" s="4" t="s">
        <v>95</v>
      </c>
      <c r="E17" s="4" t="n">
        <v>3</v>
      </c>
      <c r="F17" s="4" t="s">
        <v>44</v>
      </c>
      <c r="G17" s="4" t="s">
        <v>117</v>
      </c>
      <c r="H17" s="4" t="s">
        <v>118</v>
      </c>
      <c r="I17" s="4" t="s">
        <v>119</v>
      </c>
      <c r="J17" s="4" t="s">
        <v>120</v>
      </c>
      <c r="K17" s="4" t="s">
        <v>49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7" t="s">
        <v>121</v>
      </c>
      <c r="B1" s="7"/>
      <c r="C1" s="7"/>
      <c r="D1" s="7"/>
      <c r="E1" s="7"/>
    </row>
    <row r="3" customFormat="false" ht="15" hidden="false" customHeight="false" outlineLevel="0" collapsed="false">
      <c r="A3" s="8" t="s">
        <v>122</v>
      </c>
      <c r="B3" s="0" t="n">
        <v>68</v>
      </c>
    </row>
    <row r="4" customFormat="false" ht="15" hidden="false" customHeight="false" outlineLevel="0" collapsed="false">
      <c r="A4" s="8" t="s">
        <v>123</v>
      </c>
      <c r="B4" s="0" t="n">
        <v>3</v>
      </c>
    </row>
    <row r="5" customFormat="false" ht="15" hidden="false" customHeight="false" outlineLevel="0" collapsed="false">
      <c r="A5" s="8" t="s">
        <v>124</v>
      </c>
      <c r="B5" s="9" t="n">
        <f aca="false">B3/B4</f>
        <v>22.6666666666667</v>
      </c>
    </row>
    <row r="6" customFormat="false" ht="15" hidden="false" customHeight="false" outlineLevel="0" collapsed="false">
      <c r="A6" s="8" t="s">
        <v>125</v>
      </c>
      <c r="B6" s="9" t="n">
        <f aca="false">B3*3</f>
        <v>204</v>
      </c>
      <c r="C6" s="9" t="s">
        <v>126</v>
      </c>
    </row>
    <row r="7" customFormat="false" ht="15" hidden="false" customHeight="false" outlineLevel="0" collapsed="false">
      <c r="A7" s="8" t="s">
        <v>127</v>
      </c>
      <c r="B7" s="0" t="n">
        <v>240</v>
      </c>
      <c r="C7" s="9" t="s">
        <v>128</v>
      </c>
    </row>
    <row r="8" customFormat="false" ht="15" hidden="false" customHeight="false" outlineLevel="0" collapsed="false">
      <c r="A8" s="10" t="s">
        <v>129</v>
      </c>
      <c r="B8" s="9" t="n">
        <f aca="false">B7-B6</f>
        <v>36</v>
      </c>
      <c r="C8" s="9" t="s">
        <v>130</v>
      </c>
    </row>
    <row r="11" customFormat="false" ht="15" hidden="false" customHeight="false" outlineLevel="0" collapsed="false">
      <c r="A11" s="11" t="s">
        <v>131</v>
      </c>
    </row>
    <row r="12" customFormat="false" ht="15" hidden="false" customHeight="false" outlineLevel="0" collapsed="false">
      <c r="A12" s="2" t="s">
        <v>132</v>
      </c>
      <c r="B12" s="2" t="s">
        <v>6</v>
      </c>
      <c r="C12" s="2" t="s">
        <v>133</v>
      </c>
      <c r="D12" s="2" t="s">
        <v>134</v>
      </c>
    </row>
    <row r="13" customFormat="false" ht="34.5" hidden="false" customHeight="true" outlineLevel="0" collapsed="false">
      <c r="A13" s="4" t="s">
        <v>135</v>
      </c>
      <c r="B13" s="4" t="s">
        <v>136</v>
      </c>
      <c r="C13" s="4" t="s">
        <v>80</v>
      </c>
      <c r="D13" s="4" t="s">
        <v>137</v>
      </c>
    </row>
    <row r="14" customFormat="false" ht="34.5" hidden="false" customHeight="true" outlineLevel="0" collapsed="false">
      <c r="A14" s="4" t="s">
        <v>138</v>
      </c>
      <c r="B14" s="4" t="s">
        <v>139</v>
      </c>
      <c r="C14" s="4" t="s">
        <v>140</v>
      </c>
      <c r="D14" s="4" t="s">
        <v>141</v>
      </c>
    </row>
    <row r="15" customFormat="false" ht="34.5" hidden="false" customHeight="true" outlineLevel="0" collapsed="false">
      <c r="A15" s="4" t="s">
        <v>142</v>
      </c>
      <c r="B15" s="4" t="s">
        <v>143</v>
      </c>
      <c r="C15" s="4" t="s">
        <v>80</v>
      </c>
      <c r="D15" s="4" t="s">
        <v>144</v>
      </c>
    </row>
    <row r="16" customFormat="false" ht="34.5" hidden="false" customHeight="true" outlineLevel="0" collapsed="false">
      <c r="A16" s="4" t="s">
        <v>145</v>
      </c>
      <c r="B16" s="4" t="s">
        <v>146</v>
      </c>
      <c r="C16" s="4" t="s">
        <v>80</v>
      </c>
      <c r="D16" s="4" t="s">
        <v>147</v>
      </c>
    </row>
    <row r="17" customFormat="false" ht="34.5" hidden="false" customHeight="true" outlineLevel="0" collapsed="false">
      <c r="A17" s="4" t="s">
        <v>148</v>
      </c>
      <c r="B17" s="4" t="s">
        <v>149</v>
      </c>
      <c r="C17" s="4" t="s">
        <v>80</v>
      </c>
      <c r="D17" s="4" t="s">
        <v>150</v>
      </c>
    </row>
    <row r="18" customFormat="false" ht="34.5" hidden="false" customHeight="true" outlineLevel="0" collapsed="false">
      <c r="A18" s="4" t="s">
        <v>151</v>
      </c>
      <c r="B18" s="4" t="s">
        <v>152</v>
      </c>
      <c r="C18" s="4" t="s">
        <v>140</v>
      </c>
      <c r="D18" s="4" t="s">
        <v>153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7" t="s">
        <v>154</v>
      </c>
      <c r="B1" s="7"/>
      <c r="C1" s="7"/>
      <c r="D1" s="7"/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157</v>
      </c>
      <c r="D3" s="2" t="s">
        <v>158</v>
      </c>
    </row>
    <row r="4" customFormat="false" ht="15" hidden="false" customHeight="false" outlineLevel="0" collapsed="false">
      <c r="A4" s="12" t="s">
        <v>3</v>
      </c>
      <c r="B4" s="12" t="n">
        <v>19</v>
      </c>
      <c r="C4" s="12" t="n">
        <v>14</v>
      </c>
      <c r="D4" s="12" t="s">
        <v>159</v>
      </c>
    </row>
    <row r="5" customFormat="false" ht="15" hidden="false" customHeight="false" outlineLevel="0" collapsed="false">
      <c r="A5" s="12" t="s">
        <v>4</v>
      </c>
      <c r="B5" s="12" t="n">
        <v>107</v>
      </c>
      <c r="C5" s="12" t="n">
        <v>68</v>
      </c>
      <c r="D5" s="12" t="s">
        <v>160</v>
      </c>
    </row>
    <row r="6" customFormat="false" ht="15" hidden="false" customHeight="false" outlineLevel="0" collapsed="false">
      <c r="A6" s="12" t="s">
        <v>161</v>
      </c>
      <c r="B6" s="12" t="n">
        <v>4</v>
      </c>
      <c r="C6" s="12" t="n">
        <v>3</v>
      </c>
      <c r="D6" s="12" t="s">
        <v>162</v>
      </c>
    </row>
    <row r="7" customFormat="false" ht="15" hidden="false" customHeight="false" outlineLevel="0" collapsed="false">
      <c r="A7" s="12" t="s">
        <v>163</v>
      </c>
      <c r="B7" s="12" t="n">
        <v>3</v>
      </c>
      <c r="C7" s="12" t="n">
        <v>0</v>
      </c>
      <c r="D7" s="12" t="s">
        <v>70</v>
      </c>
    </row>
    <row r="8" customFormat="false" ht="15" hidden="false" customHeight="false" outlineLevel="0" collapsed="false">
      <c r="A8" s="12" t="s">
        <v>164</v>
      </c>
      <c r="B8" s="12" t="n">
        <v>8</v>
      </c>
      <c r="C8" s="12" t="n">
        <v>6</v>
      </c>
      <c r="D8" s="12" t="s">
        <v>162</v>
      </c>
    </row>
    <row r="9" customFormat="false" ht="15" hidden="false" customHeight="false" outlineLevel="0" collapsed="false">
      <c r="A9" s="12" t="s">
        <v>165</v>
      </c>
      <c r="B9" s="12" t="s">
        <v>166</v>
      </c>
      <c r="C9" s="12" t="s">
        <v>167</v>
      </c>
      <c r="D9" s="12"/>
    </row>
    <row r="10" customFormat="false" ht="15" hidden="false" customHeight="false" outlineLevel="0" collapsed="false">
      <c r="A10" s="12" t="s">
        <v>168</v>
      </c>
      <c r="B10" s="12" t="s">
        <v>169</v>
      </c>
      <c r="C10" s="12" t="s">
        <v>170</v>
      </c>
      <c r="D10" s="1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2026-05-10T13:27:27Z</dcterms:created>
  <dc:creator>openpyxl</dc:creator>
  <dc:description/>
  <dc:language>en-US</dc:language>
  <cp:lastModifiedBy/>
  <dcterms:modified xsi:type="dcterms:W3CDTF">2026-05-10T13:27:27Z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