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Overview" sheetId="1" state="visible" r:id="rId3"/>
    <sheet name="Stories Detail" sheetId="2" state="visible" r:id="rId4"/>
    <sheet name="Veloc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<sst xmlns="http://schemas.openxmlformats.org/spreadsheetml/2006/main" count="261" uniqueCount="158">
  <si>
    <t xml:space="preserve">P1 Sprint Backlog — SDD Rev.A.6 §16.2 (Q3 2026, 8 weeks)</t>
  </si>
  <si>
    <t xml:space="preserve">Sprint</t>
  </si>
  <si>
    <t xml:space="preserve">Epic</t>
  </si>
  <si>
    <t xml:space="preserve">Stories</t>
  </si>
  <si>
    <t xml:space="preserve">Story Points</t>
  </si>
  <si>
    <t xml:space="preserve">Critical (⭐)</t>
  </si>
  <si>
    <t xml:space="preserve">KPP Impact</t>
  </si>
  <si>
    <t xml:space="preserve">Goal</t>
  </si>
  <si>
    <t xml:space="preserve">Risk</t>
  </si>
  <si>
    <t xml:space="preserve">S1 (Wk 1-2)</t>
  </si>
  <si>
    <t xml:space="preserve">Map + Swarm Core</t>
  </si>
  <si>
    <t xml:space="preserve">P1-6, P1-7, P1-8, P1-1, P1-2</t>
  </si>
  <si>
    <t xml:space="preserve">0</t>
  </si>
  <si>
    <t xml:space="preserve">Foundation</t>
  </si>
  <si>
    <t xml:space="preserve">Cumulative mapping + 5-Tier escape ready</t>
  </si>
  <si>
    <t xml:space="preserve">PBF rasterize complexity, Bayesian tuning</t>
  </si>
  <si>
    <t xml:space="preserve">S2 (Wk 3-4)</t>
  </si>
  <si>
    <t xml:space="preserve">Predictive + Hub UGV</t>
  </si>
  <si>
    <t xml:space="preserve">P1-3, P1-4, P1-5, P1-13</t>
  </si>
  <si>
    <r>
      <rPr>
        <sz val="11"/>
        <color theme="1"/>
        <rFont val="Calibri"/>
        <family val="2"/>
        <charset val="1"/>
      </rPr>
      <t xml:space="preserve">KPP 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150ms</t>
    </r>
    <r>
      <rPr>
        <sz val="11"/>
        <color theme="1"/>
        <rFont val="Noto Sans CJK SC"/>
        <family val="2"/>
      </rPr>
      <t xml:space="preserve">」</t>
    </r>
  </si>
  <si>
    <t xml:space="preserve">1-second prediction broadcast operational</t>
  </si>
  <si>
    <t xml:space="preserve">Hybrid A* perf, election timing</t>
  </si>
  <si>
    <t xml:space="preserve">S3 (Wk 5-6)</t>
  </si>
  <si>
    <t xml:space="preserve">Operator Interface</t>
  </si>
  <si>
    <t xml:space="preserve">P1-9, P1-10, P1-11, P1-12, P1-14</t>
  </si>
  <si>
    <t xml:space="preserve">User-facing</t>
  </si>
  <si>
    <t xml:space="preserve">Android app fully integrated (BLE+WS+RPC)</t>
  </si>
  <si>
    <t xml:space="preserve">BLE GATT impl, WS reliability</t>
  </si>
  <si>
    <t xml:space="preserve">S4 (Wk 7-8)</t>
  </si>
  <si>
    <t xml:space="preserve">Critical Infrastructure</t>
  </si>
  <si>
    <t xml:space="preserve">P1-15, P1-16, P1-17, P1-18, P1-19</t>
  </si>
  <si>
    <t xml:space="preserve">3</t>
  </si>
  <si>
    <t xml:space="preserve">Compliance + Safety</t>
  </si>
  <si>
    <t xml:space="preserve">PTP+Audit+Health → field-deployable</t>
  </si>
  <si>
    <t xml:space="preserve">PTP master single point, audit log perf</t>
  </si>
  <si>
    <t xml:space="preserve">Total</t>
  </si>
  <si>
    <t xml:space="preserve">4 Epics</t>
  </si>
  <si>
    <t xml:space="preserve">19 Stories</t>
  </si>
  <si>
    <t xml:space="preserve">All P1 Stories</t>
  </si>
  <si>
    <t xml:space="preserve">Key</t>
  </si>
  <si>
    <t xml:space="preserve">Summary</t>
  </si>
  <si>
    <t xml:space="preserve">Priority</t>
  </si>
  <si>
    <t xml:space="preserve">Components</t>
  </si>
  <si>
    <t xml:space="preserve">SDD Ref</t>
  </si>
  <si>
    <t xml:space="preserve">Blocked By</t>
  </si>
  <si>
    <t xml:space="preserve">Critical</t>
  </si>
  <si>
    <t xml:space="preserve">Status</t>
  </si>
  <si>
    <t xml:space="preserve">P1-6</t>
  </si>
  <si>
    <t xml:space="preserve">OSM PBF rasterizer (20 cm cell)</t>
  </si>
  <si>
    <t xml:space="preserve">EPIC-1</t>
  </si>
  <si>
    <t xml:space="preserve">Highest</t>
  </si>
  <si>
    <t xml:space="preserve">mapping</t>
  </si>
  <si>
    <t xml:space="preserve">§4.7.1, §10.5</t>
  </si>
  <si>
    <t xml:space="preserve">—</t>
  </si>
  <si>
    <t xml:space="preserve">To Do</t>
  </si>
  <si>
    <t xml:space="preserve">P1-7</t>
  </si>
  <si>
    <t xml:space="preserve">SLAM Persistent Layer with Bayesian update (α=0.95)</t>
  </si>
  <si>
    <t xml:space="preserve">§4.7.5</t>
  </si>
  <si>
    <t xml:space="preserve">P1-8</t>
  </si>
  <si>
    <t xml:space="preserve">Anomaly detection (OSM-SLAM mismatch threshold 0.7)</t>
  </si>
  <si>
    <t xml:space="preserve">§4.7.5, §15.6</t>
  </si>
  <si>
    <t xml:space="preserve">P1-1</t>
  </si>
  <si>
    <t xml:space="preserve">5-Tier escape system (T0/T1.5/T1-T4) state machine</t>
  </si>
  <si>
    <t xml:space="preserve">swarm</t>
  </si>
  <si>
    <t xml:space="preserve">§6.7</t>
  </si>
  <si>
    <t xml:space="preserve">P1-2</t>
  </si>
  <si>
    <t xml:space="preserve">Breadcrumb buffer (1.2 km, 1m or 0.5s sample)</t>
  </si>
  <si>
    <t xml:space="preserve">§6.7.1</t>
  </si>
  <si>
    <t xml:space="preserve">P1-3</t>
  </si>
  <si>
    <t xml:space="preserve">1-second predictive broadcast (Hybrid A* lookahead)</t>
  </si>
  <si>
    <t xml:space="preserve">EPIC-2</t>
  </si>
  <si>
    <t xml:space="preserve">mission, swarm</t>
  </si>
  <si>
    <t xml:space="preserve">§7.3</t>
  </si>
  <si>
    <t xml:space="preserve">P1-13</t>
  </si>
  <si>
    <t xml:space="preserve">P1-4</t>
  </si>
  <si>
    <t xml:space="preserve">Leader rollback policy (≥50% follower struggling → retreat + replan)</t>
  </si>
  <si>
    <t xml:space="preserve">mission</t>
  </si>
  <si>
    <t xml:space="preserve">§7.6</t>
  </si>
  <si>
    <t xml:space="preserve">P1-1, P1-3</t>
  </si>
  <si>
    <t xml:space="preserve">P1-5</t>
  </si>
  <si>
    <t xml:space="preserve">Hub UGV adapter (SLAM fusion + comm gateway + leader takeover)</t>
  </si>
  <si>
    <t xml:space="preserve">adapters</t>
  </si>
  <si>
    <t xml:space="preserve">§2.2, §6.5</t>
  </si>
  <si>
    <t xml:space="preserve">Modified Raft + DDS Liveliness QoS</t>
  </si>
  <si>
    <t xml:space="preserve">§6, §6.5</t>
  </si>
  <si>
    <t xml:space="preserve">P1-9</t>
  </si>
  <si>
    <t xml:space="preserve">BLE GATT API (UUID 0xFF00-0xFF05)</t>
  </si>
  <si>
    <t xml:space="preserve">EPIC-3</t>
  </si>
  <si>
    <t xml:space="preserve">control</t>
  </si>
  <si>
    <t xml:space="preserve">§15.2</t>
  </si>
  <si>
    <t xml:space="preserve">P1-10</t>
  </si>
  <si>
    <t xml:space="preserve">WebSocket JSON-RPC API (11 method)</t>
  </si>
  <si>
    <t xml:space="preserve">§15.3</t>
  </si>
  <si>
    <t xml:space="preserve">P1-11</t>
  </si>
  <si>
    <t xml:space="preserve">Telemetry 30 Hz format (robots[] + tier color codes)</t>
  </si>
  <si>
    <t xml:space="preserve">§15.5</t>
  </si>
  <si>
    <t xml:space="preserve">P1-10, P1-1</t>
  </si>
  <si>
    <t xml:space="preserve">P1-12</t>
  </si>
  <si>
    <t xml:space="preserve">Anomaly Event push format with image_url + severity</t>
  </si>
  <si>
    <t xml:space="preserve">control, comm</t>
  </si>
  <si>
    <t xml:space="preserve">§15.6</t>
  </si>
  <si>
    <t xml:space="preserve">P1-10, P1-8</t>
  </si>
  <si>
    <t xml:space="preserve">P1-14</t>
  </si>
  <si>
    <t xml:space="preserve">Operational mode single rule (Test 3m / Move 5m / Assault 15m)</t>
  </si>
  <si>
    <t xml:space="preserve">§7.1, §15.7</t>
  </si>
  <si>
    <t xml:space="preserve">P1-15</t>
  </si>
  <si>
    <t xml:space="preserve">Time Synchronization (PTP / GNSS PPS)</t>
  </si>
  <si>
    <t xml:space="preserve">EPIC-4</t>
  </si>
  <si>
    <t xml:space="preserve">core</t>
  </si>
  <si>
    <t xml:space="preserve">§5.8</t>
  </si>
  <si>
    <t xml:space="preserve">⭐</t>
  </si>
  <si>
    <t xml:space="preserve">P1-16</t>
  </si>
  <si>
    <t xml:space="preserve">Audit Log (hash-chained jsonl)</t>
  </si>
  <si>
    <t xml:space="preserve">core, safety</t>
  </si>
  <si>
    <t xml:space="preserve">§9.7</t>
  </si>
  <si>
    <t xml:space="preserve">P1-17</t>
  </si>
  <si>
    <t xml:space="preserve">Health Monitoring + Degraded Mode FSM</t>
  </si>
  <si>
    <t xml:space="preserve">safety</t>
  </si>
  <si>
    <t xml:space="preserve">§9.6</t>
  </si>
  <si>
    <t xml:space="preserve">P1-18</t>
  </si>
  <si>
    <t xml:space="preserve">Geofence violation detection (E3 event)</t>
  </si>
  <si>
    <t xml:space="preserve">§9.3</t>
  </si>
  <si>
    <t xml:space="preserve">P1-19</t>
  </si>
  <si>
    <t xml:space="preserve">Battery 20% → automatic RTH trigger</t>
  </si>
  <si>
    <t xml:space="preserve">safety, mission</t>
  </si>
  <si>
    <t xml:space="preserve">§8</t>
  </si>
  <si>
    <t xml:space="preserve">Velocity Estimate</t>
  </si>
  <si>
    <t xml:space="preserve">Total story points (P1):</t>
  </si>
  <si>
    <t xml:space="preserve">Sprints:</t>
  </si>
  <si>
    <t xml:space="preserve">Average SP/Sprint:</t>
  </si>
  <si>
    <t xml:space="preserve">Avg duration (1 SP = 3 hrs):</t>
  </si>
  <si>
    <t xml:space="preserve">hours</t>
  </si>
  <si>
    <t xml:space="preserve">8 weeks × 40 hr/week:</t>
  </si>
  <si>
    <t xml:space="preserve">hours per dev</t>
  </si>
  <si>
    <t xml:space="preserve">Headroom check:</t>
  </si>
  <si>
    <t xml:space="preserve">hours buffer</t>
  </si>
  <si>
    <t xml:space="preserve">Top Risks</t>
  </si>
  <si>
    <t xml:space="preserve">ID</t>
  </si>
  <si>
    <t xml:space="preserve">Probability</t>
  </si>
  <si>
    <t xml:space="preserve">Mitigation</t>
  </si>
  <si>
    <t xml:space="preserve">R1</t>
  </si>
  <si>
    <t xml:space="preserve">PTP master (Hub UGV) single point of failure</t>
  </si>
  <si>
    <t xml:space="preserve">Medium</t>
  </si>
  <si>
    <t xml:space="preserve">Quorum-based fallback consensus per §5.8.3</t>
  </si>
  <si>
    <t xml:space="preserve">R2</t>
  </si>
  <si>
    <t xml:space="preserve">1-sec predictive Hybrid A* may not meet 100ms compute budget</t>
  </si>
  <si>
    <t xml:space="preserve">High</t>
  </si>
  <si>
    <t xml:space="preserve">Use cached path, only re-plan when significant divergence</t>
  </si>
  <si>
    <t xml:space="preserve">R3</t>
  </si>
  <si>
    <t xml:space="preserve">BLE GATT implementation cross-platform issues</t>
  </si>
  <si>
    <t xml:space="preserve">Use BleSim TCP simulator for tests, hardware in Phase C</t>
  </si>
  <si>
    <t xml:space="preserve">R4</t>
  </si>
  <si>
    <t xml:space="preserve">5-Tier hysteresis chattering in marginal scenarios</t>
  </si>
  <si>
    <t xml:space="preserve">Aggressive testing in Gazebo with edge cases</t>
  </si>
  <si>
    <t xml:space="preserve">R5</t>
  </si>
  <si>
    <t xml:space="preserve">Audit log overhead may exceed 5 ms per write</t>
  </si>
  <si>
    <t xml:space="preserve">Low</t>
  </si>
  <si>
    <t xml:space="preserve">Async batch writes, separate disk partition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</si>
</sst>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name val="Cambria"/>
      <family val="0"/>
      <charset val="1"/>
    </font>
    <font>
      <b val="true"/>
      <sz val="14"/>
      <color rgb="FF1F4E79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00B050"/>
      <name val="Cambria"/>
      <family val="0"/>
      <charset val="1"/>
    </font>
    <font>
      <b val="true"/>
      <sz val="12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EFF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36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49.5" hidden="false" customHeight="true" outlineLevel="0" collapsed="false">
      <c r="A4" s="3" t="s">
        <v>9</v>
      </c>
      <c r="B4" s="4" t="s">
        <v>10</v>
      </c>
      <c r="C4" s="4" t="s">
        <v>11</v>
      </c>
      <c r="D4" s="4" t="n">
        <v>26</v>
      </c>
      <c r="E4" s="4" t="s">
        <v>12</v>
      </c>
      <c r="F4" s="4" t="s">
        <v>13</v>
      </c>
      <c r="G4" s="4" t="s">
        <v>14</v>
      </c>
      <c r="H4" s="4" t="s">
        <v>15</v>
      </c>
    </row>
    <row r="5" customFormat="false" ht="49.5" hidden="false" customHeight="true" outlineLevel="0" collapsed="false">
      <c r="A5" s="3" t="s">
        <v>16</v>
      </c>
      <c r="B5" s="4" t="s">
        <v>17</v>
      </c>
      <c r="C5" s="4" t="s">
        <v>18</v>
      </c>
      <c r="D5" s="4" t="n">
        <v>34</v>
      </c>
      <c r="E5" s="4" t="s">
        <v>12</v>
      </c>
      <c r="F5" s="4" t="s">
        <v>19</v>
      </c>
      <c r="G5" s="4" t="s">
        <v>20</v>
      </c>
      <c r="H5" s="4" t="s">
        <v>21</v>
      </c>
    </row>
    <row r="6" customFormat="false" ht="49.5" hidden="false" customHeight="true" outlineLevel="0" collapsed="false">
      <c r="A6" s="3" t="s">
        <v>22</v>
      </c>
      <c r="B6" s="4" t="s">
        <v>23</v>
      </c>
      <c r="C6" s="4" t="s">
        <v>24</v>
      </c>
      <c r="D6" s="4" t="n">
        <v>24</v>
      </c>
      <c r="E6" s="4" t="s">
        <v>12</v>
      </c>
      <c r="F6" s="4" t="s">
        <v>25</v>
      </c>
      <c r="G6" s="4" t="s">
        <v>26</v>
      </c>
      <c r="H6" s="4" t="s">
        <v>27</v>
      </c>
    </row>
    <row r="7" customFormat="false" ht="49.5" hidden="false" customHeight="true" outlineLevel="0" collapsed="false">
      <c r="A7" s="3" t="s">
        <v>28</v>
      </c>
      <c r="B7" s="4" t="s">
        <v>29</v>
      </c>
      <c r="C7" s="4" t="s">
        <v>30</v>
      </c>
      <c r="D7" s="4" t="n">
        <v>23</v>
      </c>
      <c r="E7" s="4" t="s">
        <v>31</v>
      </c>
      <c r="F7" s="4" t="s">
        <v>32</v>
      </c>
      <c r="G7" s="4" t="s">
        <v>33</v>
      </c>
      <c r="H7" s="4" t="s">
        <v>34</v>
      </c>
    </row>
    <row r="8" customFormat="false" ht="15" hidden="false" customHeight="false" outlineLevel="0" collapsed="false">
      <c r="A8" s="5" t="s">
        <v>35</v>
      </c>
      <c r="B8" s="5" t="s">
        <v>36</v>
      </c>
      <c r="C8" s="5" t="s">
        <v>37</v>
      </c>
      <c r="D8" s="5" t="n">
        <f aca="false">SUM(D4:D7)</f>
        <v>107</v>
      </c>
      <c r="E8" s="5" t="n">
        <f aca="false">SUM(E4:E7)</f>
        <v>0</v>
      </c>
      <c r="F8" s="6"/>
      <c r="G8" s="6"/>
      <c r="H8" s="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7" t="s">
        <v>38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customFormat="false" ht="31.5" hidden="false" customHeight="true" outlineLevel="0" collapsed="false">
      <c r="A3" s="2" t="s">
        <v>39</v>
      </c>
      <c r="B3" s="2" t="s">
        <v>40</v>
      </c>
      <c r="C3" s="2" t="s">
        <v>1</v>
      </c>
      <c r="D3" s="2" t="s">
        <v>2</v>
      </c>
      <c r="E3" s="2" t="s">
        <v>4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</row>
    <row r="4" customFormat="false" ht="15" hidden="false" customHeight="false" outlineLevel="0" collapsed="false">
      <c r="A4" s="4" t="s">
        <v>47</v>
      </c>
      <c r="B4" s="4" t="s">
        <v>48</v>
      </c>
      <c r="C4" s="4" t="s">
        <v>9</v>
      </c>
      <c r="D4" s="4" t="s">
        <v>49</v>
      </c>
      <c r="E4" s="4" t="n">
        <v>5</v>
      </c>
      <c r="F4" s="4" t="s">
        <v>50</v>
      </c>
      <c r="G4" s="4" t="s">
        <v>51</v>
      </c>
      <c r="H4" s="4" t="s">
        <v>52</v>
      </c>
      <c r="I4" s="4" t="s">
        <v>53</v>
      </c>
      <c r="J4" s="4"/>
      <c r="K4" s="4" t="s">
        <v>54</v>
      </c>
    </row>
    <row r="5" customFormat="false" ht="15" hidden="false" customHeight="false" outlineLevel="0" collapsed="false">
      <c r="A5" s="4" t="s">
        <v>55</v>
      </c>
      <c r="B5" s="4" t="s">
        <v>56</v>
      </c>
      <c r="C5" s="4" t="s">
        <v>9</v>
      </c>
      <c r="D5" s="4" t="s">
        <v>49</v>
      </c>
      <c r="E5" s="4" t="n">
        <v>5</v>
      </c>
      <c r="F5" s="4" t="s">
        <v>50</v>
      </c>
      <c r="G5" s="4" t="s">
        <v>51</v>
      </c>
      <c r="H5" s="4" t="s">
        <v>57</v>
      </c>
      <c r="I5" s="4" t="s">
        <v>47</v>
      </c>
      <c r="J5" s="4"/>
      <c r="K5" s="4" t="s">
        <v>54</v>
      </c>
    </row>
    <row r="6" customFormat="false" ht="15" hidden="false" customHeight="false" outlineLevel="0" collapsed="false">
      <c r="A6" s="4" t="s">
        <v>58</v>
      </c>
      <c r="B6" s="4" t="s">
        <v>59</v>
      </c>
      <c r="C6" s="4" t="s">
        <v>9</v>
      </c>
      <c r="D6" s="4" t="s">
        <v>49</v>
      </c>
      <c r="E6" s="4" t="n">
        <v>3</v>
      </c>
      <c r="F6" s="4" t="s">
        <v>50</v>
      </c>
      <c r="G6" s="4" t="s">
        <v>51</v>
      </c>
      <c r="H6" s="4" t="s">
        <v>60</v>
      </c>
      <c r="I6" s="4" t="s">
        <v>55</v>
      </c>
      <c r="J6" s="4"/>
      <c r="K6" s="4" t="s">
        <v>54</v>
      </c>
    </row>
    <row r="7" customFormat="false" ht="15" hidden="false" customHeight="false" outlineLevel="0" collapsed="false">
      <c r="A7" s="4" t="s">
        <v>61</v>
      </c>
      <c r="B7" s="4" t="s">
        <v>62</v>
      </c>
      <c r="C7" s="4" t="s">
        <v>9</v>
      </c>
      <c r="D7" s="4" t="s">
        <v>49</v>
      </c>
      <c r="E7" s="4" t="n">
        <v>8</v>
      </c>
      <c r="F7" s="4" t="s">
        <v>50</v>
      </c>
      <c r="G7" s="4" t="s">
        <v>63</v>
      </c>
      <c r="H7" s="4" t="s">
        <v>64</v>
      </c>
      <c r="I7" s="4" t="s">
        <v>53</v>
      </c>
      <c r="J7" s="4"/>
      <c r="K7" s="4" t="s">
        <v>54</v>
      </c>
    </row>
    <row r="8" customFormat="false" ht="15" hidden="false" customHeight="false" outlineLevel="0" collapsed="false">
      <c r="A8" s="4" t="s">
        <v>65</v>
      </c>
      <c r="B8" s="4" t="s">
        <v>66</v>
      </c>
      <c r="C8" s="4" t="s">
        <v>9</v>
      </c>
      <c r="D8" s="4" t="s">
        <v>49</v>
      </c>
      <c r="E8" s="4" t="n">
        <v>5</v>
      </c>
      <c r="F8" s="4" t="s">
        <v>50</v>
      </c>
      <c r="G8" s="4" t="s">
        <v>63</v>
      </c>
      <c r="H8" s="4" t="s">
        <v>67</v>
      </c>
      <c r="I8" s="4" t="s">
        <v>61</v>
      </c>
      <c r="J8" s="4"/>
      <c r="K8" s="4" t="s">
        <v>54</v>
      </c>
    </row>
    <row r="9" customFormat="false" ht="15" hidden="false" customHeight="false" outlineLevel="0" collapsed="false">
      <c r="A9" s="4" t="s">
        <v>68</v>
      </c>
      <c r="B9" s="4" t="s">
        <v>69</v>
      </c>
      <c r="C9" s="4" t="s">
        <v>16</v>
      </c>
      <c r="D9" s="4" t="s">
        <v>70</v>
      </c>
      <c r="E9" s="4" t="n">
        <v>13</v>
      </c>
      <c r="F9" s="4" t="s">
        <v>50</v>
      </c>
      <c r="G9" s="4" t="s">
        <v>71</v>
      </c>
      <c r="H9" s="4" t="s">
        <v>72</v>
      </c>
      <c r="I9" s="4" t="s">
        <v>73</v>
      </c>
      <c r="J9" s="4"/>
      <c r="K9" s="4" t="s">
        <v>54</v>
      </c>
    </row>
    <row r="10" customFormat="false" ht="28.35" hidden="false" customHeight="false" outlineLevel="0" collapsed="false">
      <c r="A10" s="4" t="s">
        <v>74</v>
      </c>
      <c r="B10" s="4" t="s">
        <v>75</v>
      </c>
      <c r="C10" s="4" t="s">
        <v>16</v>
      </c>
      <c r="D10" s="4" t="s">
        <v>70</v>
      </c>
      <c r="E10" s="4" t="n">
        <v>5</v>
      </c>
      <c r="F10" s="4" t="s">
        <v>50</v>
      </c>
      <c r="G10" s="4" t="s">
        <v>76</v>
      </c>
      <c r="H10" s="4" t="s">
        <v>77</v>
      </c>
      <c r="I10" s="4" t="s">
        <v>78</v>
      </c>
      <c r="J10" s="4"/>
      <c r="K10" s="4" t="s">
        <v>54</v>
      </c>
    </row>
    <row r="11" customFormat="false" ht="28.35" hidden="false" customHeight="false" outlineLevel="0" collapsed="false">
      <c r="A11" s="4" t="s">
        <v>79</v>
      </c>
      <c r="B11" s="4" t="s">
        <v>80</v>
      </c>
      <c r="C11" s="4" t="s">
        <v>16</v>
      </c>
      <c r="D11" s="4" t="s">
        <v>70</v>
      </c>
      <c r="E11" s="4" t="n">
        <v>8</v>
      </c>
      <c r="F11" s="4" t="s">
        <v>50</v>
      </c>
      <c r="G11" s="4" t="s">
        <v>81</v>
      </c>
      <c r="H11" s="4" t="s">
        <v>82</v>
      </c>
      <c r="I11" s="4" t="s">
        <v>55</v>
      </c>
      <c r="J11" s="4"/>
      <c r="K11" s="4" t="s">
        <v>54</v>
      </c>
    </row>
    <row r="12" customFormat="false" ht="15" hidden="false" customHeight="false" outlineLevel="0" collapsed="false">
      <c r="A12" s="4" t="s">
        <v>73</v>
      </c>
      <c r="B12" s="4" t="s">
        <v>83</v>
      </c>
      <c r="C12" s="4" t="s">
        <v>16</v>
      </c>
      <c r="D12" s="4" t="s">
        <v>70</v>
      </c>
      <c r="E12" s="4" t="n">
        <v>8</v>
      </c>
      <c r="F12" s="4" t="s">
        <v>50</v>
      </c>
      <c r="G12" s="4" t="s">
        <v>63</v>
      </c>
      <c r="H12" s="4" t="s">
        <v>84</v>
      </c>
      <c r="I12" s="4" t="s">
        <v>53</v>
      </c>
      <c r="J12" s="4"/>
      <c r="K12" s="4" t="s">
        <v>54</v>
      </c>
    </row>
    <row r="13" customFormat="false" ht="15" hidden="false" customHeight="false" outlineLevel="0" collapsed="false">
      <c r="A13" s="4" t="s">
        <v>85</v>
      </c>
      <c r="B13" s="4" t="s">
        <v>86</v>
      </c>
      <c r="C13" s="4" t="s">
        <v>22</v>
      </c>
      <c r="D13" s="4" t="s">
        <v>87</v>
      </c>
      <c r="E13" s="4" t="n">
        <v>8</v>
      </c>
      <c r="F13" s="4" t="s">
        <v>50</v>
      </c>
      <c r="G13" s="4" t="s">
        <v>88</v>
      </c>
      <c r="H13" s="4" t="s">
        <v>89</v>
      </c>
      <c r="I13" s="4" t="s">
        <v>53</v>
      </c>
      <c r="J13" s="4"/>
      <c r="K13" s="4" t="s">
        <v>54</v>
      </c>
    </row>
    <row r="14" customFormat="false" ht="15" hidden="false" customHeight="false" outlineLevel="0" collapsed="false">
      <c r="A14" s="4" t="s">
        <v>90</v>
      </c>
      <c r="B14" s="4" t="s">
        <v>91</v>
      </c>
      <c r="C14" s="4" t="s">
        <v>22</v>
      </c>
      <c r="D14" s="4" t="s">
        <v>87</v>
      </c>
      <c r="E14" s="4" t="n">
        <v>8</v>
      </c>
      <c r="F14" s="4" t="s">
        <v>50</v>
      </c>
      <c r="G14" s="4" t="s">
        <v>88</v>
      </c>
      <c r="H14" s="4" t="s">
        <v>92</v>
      </c>
      <c r="I14" s="4" t="s">
        <v>53</v>
      </c>
      <c r="J14" s="4"/>
      <c r="K14" s="4" t="s">
        <v>54</v>
      </c>
    </row>
    <row r="15" customFormat="false" ht="15" hidden="false" customHeight="false" outlineLevel="0" collapsed="false">
      <c r="A15" s="4" t="s">
        <v>93</v>
      </c>
      <c r="B15" s="4" t="s">
        <v>94</v>
      </c>
      <c r="C15" s="4" t="s">
        <v>22</v>
      </c>
      <c r="D15" s="4" t="s">
        <v>87</v>
      </c>
      <c r="E15" s="4" t="n">
        <v>3</v>
      </c>
      <c r="F15" s="4" t="s">
        <v>50</v>
      </c>
      <c r="G15" s="4" t="s">
        <v>88</v>
      </c>
      <c r="H15" s="4" t="s">
        <v>95</v>
      </c>
      <c r="I15" s="4" t="s">
        <v>96</v>
      </c>
      <c r="J15" s="4"/>
      <c r="K15" s="4" t="s">
        <v>54</v>
      </c>
    </row>
    <row r="16" customFormat="false" ht="15" hidden="false" customHeight="false" outlineLevel="0" collapsed="false">
      <c r="A16" s="4" t="s">
        <v>97</v>
      </c>
      <c r="B16" s="4" t="s">
        <v>98</v>
      </c>
      <c r="C16" s="4" t="s">
        <v>22</v>
      </c>
      <c r="D16" s="4" t="s">
        <v>87</v>
      </c>
      <c r="E16" s="4" t="n">
        <v>2</v>
      </c>
      <c r="F16" s="4" t="s">
        <v>50</v>
      </c>
      <c r="G16" s="4" t="s">
        <v>99</v>
      </c>
      <c r="H16" s="4" t="s">
        <v>100</v>
      </c>
      <c r="I16" s="4" t="s">
        <v>101</v>
      </c>
      <c r="J16" s="4"/>
      <c r="K16" s="4" t="s">
        <v>54</v>
      </c>
    </row>
    <row r="17" customFormat="false" ht="28.35" hidden="false" customHeight="false" outlineLevel="0" collapsed="false">
      <c r="A17" s="4" t="s">
        <v>102</v>
      </c>
      <c r="B17" s="4" t="s">
        <v>103</v>
      </c>
      <c r="C17" s="4" t="s">
        <v>22</v>
      </c>
      <c r="D17" s="4" t="s">
        <v>87</v>
      </c>
      <c r="E17" s="4" t="n">
        <v>3</v>
      </c>
      <c r="F17" s="4" t="s">
        <v>50</v>
      </c>
      <c r="G17" s="4" t="s">
        <v>76</v>
      </c>
      <c r="H17" s="4" t="s">
        <v>104</v>
      </c>
      <c r="I17" s="4" t="s">
        <v>90</v>
      </c>
      <c r="J17" s="4"/>
      <c r="K17" s="4" t="s">
        <v>54</v>
      </c>
    </row>
    <row r="18" customFormat="false" ht="15" hidden="false" customHeight="false" outlineLevel="0" collapsed="false">
      <c r="A18" s="4" t="s">
        <v>105</v>
      </c>
      <c r="B18" s="4" t="s">
        <v>106</v>
      </c>
      <c r="C18" s="4" t="s">
        <v>28</v>
      </c>
      <c r="D18" s="4" t="s">
        <v>107</v>
      </c>
      <c r="E18" s="4" t="n">
        <v>5</v>
      </c>
      <c r="F18" s="4" t="s">
        <v>50</v>
      </c>
      <c r="G18" s="4" t="s">
        <v>108</v>
      </c>
      <c r="H18" s="4" t="s">
        <v>109</v>
      </c>
      <c r="I18" s="4" t="s">
        <v>53</v>
      </c>
      <c r="J18" s="8" t="s">
        <v>110</v>
      </c>
      <c r="K18" s="4" t="s">
        <v>54</v>
      </c>
    </row>
    <row r="19" customFormat="false" ht="15" hidden="false" customHeight="false" outlineLevel="0" collapsed="false">
      <c r="A19" s="4" t="s">
        <v>111</v>
      </c>
      <c r="B19" s="4" t="s">
        <v>112</v>
      </c>
      <c r="C19" s="4" t="s">
        <v>28</v>
      </c>
      <c r="D19" s="4" t="s">
        <v>107</v>
      </c>
      <c r="E19" s="4" t="n">
        <v>5</v>
      </c>
      <c r="F19" s="4" t="s">
        <v>50</v>
      </c>
      <c r="G19" s="4" t="s">
        <v>113</v>
      </c>
      <c r="H19" s="4" t="s">
        <v>114</v>
      </c>
      <c r="I19" s="4" t="s">
        <v>53</v>
      </c>
      <c r="J19" s="8" t="s">
        <v>110</v>
      </c>
      <c r="K19" s="4" t="s">
        <v>54</v>
      </c>
    </row>
    <row r="20" customFormat="false" ht="15" hidden="false" customHeight="false" outlineLevel="0" collapsed="false">
      <c r="A20" s="4" t="s">
        <v>115</v>
      </c>
      <c r="B20" s="4" t="s">
        <v>116</v>
      </c>
      <c r="C20" s="4" t="s">
        <v>28</v>
      </c>
      <c r="D20" s="4" t="s">
        <v>107</v>
      </c>
      <c r="E20" s="4" t="n">
        <v>8</v>
      </c>
      <c r="F20" s="4" t="s">
        <v>50</v>
      </c>
      <c r="G20" s="4" t="s">
        <v>117</v>
      </c>
      <c r="H20" s="4" t="s">
        <v>118</v>
      </c>
      <c r="I20" s="4" t="s">
        <v>105</v>
      </c>
      <c r="J20" s="8" t="s">
        <v>110</v>
      </c>
      <c r="K20" s="4" t="s">
        <v>54</v>
      </c>
    </row>
    <row r="21" customFormat="false" ht="15" hidden="false" customHeight="false" outlineLevel="0" collapsed="false">
      <c r="A21" s="4" t="s">
        <v>119</v>
      </c>
      <c r="B21" s="4" t="s">
        <v>120</v>
      </c>
      <c r="C21" s="4" t="s">
        <v>28</v>
      </c>
      <c r="D21" s="4" t="s">
        <v>107</v>
      </c>
      <c r="E21" s="4" t="n">
        <v>3</v>
      </c>
      <c r="F21" s="4" t="s">
        <v>50</v>
      </c>
      <c r="G21" s="4" t="s">
        <v>117</v>
      </c>
      <c r="H21" s="4" t="s">
        <v>121</v>
      </c>
      <c r="I21" s="4" t="s">
        <v>53</v>
      </c>
      <c r="J21" s="4"/>
      <c r="K21" s="4" t="s">
        <v>54</v>
      </c>
    </row>
    <row r="22" customFormat="false" ht="15" hidden="false" customHeight="false" outlineLevel="0" collapsed="false">
      <c r="A22" s="4" t="s">
        <v>122</v>
      </c>
      <c r="B22" s="4" t="s">
        <v>123</v>
      </c>
      <c r="C22" s="4" t="s">
        <v>28</v>
      </c>
      <c r="D22" s="4" t="s">
        <v>107</v>
      </c>
      <c r="E22" s="4" t="n">
        <v>2</v>
      </c>
      <c r="F22" s="4" t="s">
        <v>50</v>
      </c>
      <c r="G22" s="4" t="s">
        <v>124</v>
      </c>
      <c r="H22" s="4" t="s">
        <v>125</v>
      </c>
      <c r="I22" s="4" t="s">
        <v>115</v>
      </c>
      <c r="J22" s="4"/>
      <c r="K22" s="4" t="s">
        <v>54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7" t="s">
        <v>126</v>
      </c>
      <c r="B1" s="7"/>
      <c r="C1" s="7"/>
      <c r="D1" s="7"/>
      <c r="E1" s="7"/>
    </row>
    <row r="3" customFormat="false" ht="15" hidden="false" customHeight="false" outlineLevel="0" collapsed="false">
      <c r="A3" s="9" t="s">
        <v>127</v>
      </c>
      <c r="B3" s="0" t="n">
        <v>107</v>
      </c>
    </row>
    <row r="4" customFormat="false" ht="15" hidden="false" customHeight="false" outlineLevel="0" collapsed="false">
      <c r="A4" s="9" t="s">
        <v>128</v>
      </c>
      <c r="B4" s="0" t="n">
        <v>4</v>
      </c>
    </row>
    <row r="5" customFormat="false" ht="15" hidden="false" customHeight="false" outlineLevel="0" collapsed="false">
      <c r="A5" s="9" t="s">
        <v>129</v>
      </c>
      <c r="B5" s="10" t="n">
        <f aca="false">B3/B4</f>
        <v>26.75</v>
      </c>
    </row>
    <row r="6" customFormat="false" ht="15" hidden="false" customHeight="false" outlineLevel="0" collapsed="false">
      <c r="A6" s="9" t="s">
        <v>130</v>
      </c>
      <c r="B6" s="10" t="n">
        <f aca="false">B3*3</f>
        <v>321</v>
      </c>
      <c r="C6" s="10" t="s">
        <v>131</v>
      </c>
    </row>
    <row r="7" customFormat="false" ht="15" hidden="false" customHeight="false" outlineLevel="0" collapsed="false">
      <c r="A7" s="9" t="s">
        <v>132</v>
      </c>
      <c r="B7" s="0" t="n">
        <v>320</v>
      </c>
      <c r="C7" s="10" t="s">
        <v>133</v>
      </c>
    </row>
    <row r="8" customFormat="false" ht="15" hidden="false" customHeight="false" outlineLevel="0" collapsed="false">
      <c r="A8" s="11" t="s">
        <v>134</v>
      </c>
      <c r="B8" s="10" t="n">
        <f aca="false">B7-B6</f>
        <v>-1</v>
      </c>
      <c r="C8" s="10" t="s">
        <v>135</v>
      </c>
    </row>
    <row r="11" customFormat="false" ht="15" hidden="false" customHeight="false" outlineLevel="0" collapsed="false">
      <c r="A11" s="12" t="s">
        <v>136</v>
      </c>
    </row>
    <row r="12" customFormat="false" ht="15" hidden="false" customHeight="false" outlineLevel="0" collapsed="false">
      <c r="A12" s="2" t="s">
        <v>137</v>
      </c>
      <c r="B12" s="2" t="s">
        <v>8</v>
      </c>
      <c r="C12" s="2" t="s">
        <v>138</v>
      </c>
      <c r="D12" s="2" t="s">
        <v>139</v>
      </c>
    </row>
    <row r="13" customFormat="false" ht="34.5" hidden="false" customHeight="true" outlineLevel="0" collapsed="false">
      <c r="A13" s="4" t="s">
        <v>140</v>
      </c>
      <c r="B13" s="4" t="s">
        <v>141</v>
      </c>
      <c r="C13" s="4" t="s">
        <v>142</v>
      </c>
      <c r="D13" s="4" t="s">
        <v>143</v>
      </c>
    </row>
    <row r="14" customFormat="false" ht="34.5" hidden="false" customHeight="true" outlineLevel="0" collapsed="false">
      <c r="A14" s="4" t="s">
        <v>144</v>
      </c>
      <c r="B14" s="4" t="s">
        <v>145</v>
      </c>
      <c r="C14" s="4" t="s">
        <v>146</v>
      </c>
      <c r="D14" s="4" t="s">
        <v>147</v>
      </c>
    </row>
    <row r="15" customFormat="false" ht="34.5" hidden="false" customHeight="true" outlineLevel="0" collapsed="false">
      <c r="A15" s="4" t="s">
        <v>148</v>
      </c>
      <c r="B15" s="4" t="s">
        <v>149</v>
      </c>
      <c r="C15" s="4" t="s">
        <v>142</v>
      </c>
      <c r="D15" s="4" t="s">
        <v>150</v>
      </c>
    </row>
    <row r="16" customFormat="false" ht="34.5" hidden="false" customHeight="true" outlineLevel="0" collapsed="false">
      <c r="A16" s="4" t="s">
        <v>151</v>
      </c>
      <c r="B16" s="4" t="s">
        <v>152</v>
      </c>
      <c r="C16" s="4" t="s">
        <v>142</v>
      </c>
      <c r="D16" s="4" t="s">
        <v>153</v>
      </c>
    </row>
    <row r="17" customFormat="false" ht="34.5" hidden="false" customHeight="true" outlineLevel="0" collapsed="false">
      <c r="A17" s="4" t="s">
        <v>154</v>
      </c>
      <c r="B17" s="4" t="s">
        <v>155</v>
      </c>
      <c r="C17" s="4" t="s">
        <v>156</v>
      </c>
      <c r="D17" s="4" t="s">
        <v>157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2026-05-10T10:50:48Z</dcterms:created>
  <dc:creator>openpyxl</dc:creator>
  <dc:description/>
  <dc:language>en-US</dc:language>
  <cp:lastModifiedBy/>
  <dcterms:modified xsi:type="dcterms:W3CDTF">2026-05-10T10:50:48Z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